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9268F3E-9E0B-4799-BCBF-FEF553E8B416}" xr6:coauthVersionLast="47" xr6:coauthVersionMax="47" xr10:uidLastSave="{00000000-0000-0000-0000-000000000000}"/>
  <bookViews>
    <workbookView xWindow="-108" yWindow="-108" windowWidth="23256" windowHeight="12456" activeTab="1" xr2:uid="{33063728-8C93-42AC-BE5D-8B76F1AEE4FB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Sheet1!$A$1:$J$44</definedName>
  </definedNames>
  <calcPr calcId="191029"/>
  <pivotCaches>
    <pivotCache cacheId="5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" l="1"/>
  <c r="T4" i="1" a="1"/>
  <c r="T4" i="1" s="1"/>
  <c r="N11" i="1"/>
  <c r="N10" i="1"/>
  <c r="N4" i="1"/>
  <c r="N9" i="1"/>
  <c r="N6" i="1"/>
  <c r="N8" i="1"/>
  <c r="N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" i="1"/>
  <c r="N21" i="1" l="1"/>
  <c r="P16" i="1"/>
  <c r="N5" i="1"/>
  <c r="P17" i="1"/>
  <c r="N7" i="1"/>
  <c r="N24" i="1"/>
  <c r="N22" i="1"/>
  <c r="P15" i="1"/>
  <c r="N2" i="1"/>
  <c r="N23" i="1"/>
  <c r="P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<sst xmlns="http://schemas.openxmlformats.org/spreadsheetml/2006/main" count="271" uniqueCount="128">
  <si>
    <t>Date</t>
  </si>
  <si>
    <t>Customer Name</t>
  </si>
  <si>
    <t>Age</t>
  </si>
  <si>
    <t>Gender</t>
  </si>
  <si>
    <t>Region</t>
  </si>
  <si>
    <t>Product Category</t>
  </si>
  <si>
    <t>Product Name</t>
  </si>
  <si>
    <t>Quantity</t>
  </si>
  <si>
    <t>Price (USD)</t>
  </si>
  <si>
    <t>Revenue (USD)</t>
  </si>
  <si>
    <t>Alice Smith</t>
  </si>
  <si>
    <t>Female</t>
  </si>
  <si>
    <t>North</t>
  </si>
  <si>
    <t>Electronics</t>
  </si>
  <si>
    <t>Smartphone</t>
  </si>
  <si>
    <t>John Doe</t>
  </si>
  <si>
    <t>Male</t>
  </si>
  <si>
    <t>South</t>
  </si>
  <si>
    <t>Fashion</t>
  </si>
  <si>
    <t>Sneakers</t>
  </si>
  <si>
    <t>Maria Gonzalez</t>
  </si>
  <si>
    <t>West</t>
  </si>
  <si>
    <t>Home &amp; Kitchen</t>
  </si>
  <si>
    <t>Blender</t>
  </si>
  <si>
    <t>Michael Brown</t>
  </si>
  <si>
    <t>East</t>
  </si>
  <si>
    <t>Laptop</t>
  </si>
  <si>
    <t>Sarah Johnson</t>
  </si>
  <si>
    <t>Beauty</t>
  </si>
  <si>
    <t>Skincare Kit</t>
  </si>
  <si>
    <t>Chris Lee</t>
  </si>
  <si>
    <t>Smartwatch</t>
  </si>
  <si>
    <t>Emily Davis</t>
  </si>
  <si>
    <t>Jacket</t>
  </si>
  <si>
    <t>James Taylor</t>
  </si>
  <si>
    <t>Microwave Oven</t>
  </si>
  <si>
    <t>Olivia Wilson</t>
  </si>
  <si>
    <t>Headphones</t>
  </si>
  <si>
    <t>Ethan Moore</t>
  </si>
  <si>
    <t>Perfume</t>
  </si>
  <si>
    <t>Sophia Martin</t>
  </si>
  <si>
    <t>Handbag</t>
  </si>
  <si>
    <t>Daniel White</t>
  </si>
  <si>
    <t>Tablet</t>
  </si>
  <si>
    <t>Chloe Thomas</t>
  </si>
  <si>
    <t>Coffee Maker</t>
  </si>
  <si>
    <t>Benjamin Clark</t>
  </si>
  <si>
    <t>Watch</t>
  </si>
  <si>
    <t>Isabella Scott</t>
  </si>
  <si>
    <t>Hair Dryer</t>
  </si>
  <si>
    <t>William Hall</t>
  </si>
  <si>
    <t>Gaming Console</t>
  </si>
  <si>
    <t>Grace Adams</t>
  </si>
  <si>
    <t>Sunglasses</t>
  </si>
  <si>
    <t>Mason Baker</t>
  </si>
  <si>
    <t>Camera</t>
  </si>
  <si>
    <t>Ella Parker</t>
  </si>
  <si>
    <t>Air Fryer</t>
  </si>
  <si>
    <t>Lucas Phillips</t>
  </si>
  <si>
    <t>Smart Speaker</t>
  </si>
  <si>
    <t>Zoe Mitchell</t>
  </si>
  <si>
    <t>Makeup Set</t>
  </si>
  <si>
    <t>Henry Carter</t>
  </si>
  <si>
    <t>Sports Shoes</t>
  </si>
  <si>
    <t>Lily Roberts</t>
  </si>
  <si>
    <t>Power Bank</t>
  </si>
  <si>
    <t>Jack Turner</t>
  </si>
  <si>
    <t>Vacuum Cleaner</t>
  </si>
  <si>
    <t>Natalie Lewis</t>
  </si>
  <si>
    <t>Bluetooth Speaker</t>
  </si>
  <si>
    <t>Andrew Young</t>
  </si>
  <si>
    <t>Beard Trimmer</t>
  </si>
  <si>
    <t>Victoria Walker</t>
  </si>
  <si>
    <t>Winter Coat</t>
  </si>
  <si>
    <t>Samuel King</t>
  </si>
  <si>
    <t>Drone</t>
  </si>
  <si>
    <t>Harper Wright</t>
  </si>
  <si>
    <t>Slow Cooker</t>
  </si>
  <si>
    <t>Elijah Hill</t>
  </si>
  <si>
    <t>External Hard Drive</t>
  </si>
  <si>
    <t>Scarlett Green</t>
  </si>
  <si>
    <t>Nail Polish Kit</t>
  </si>
  <si>
    <t>Dylan Edwards</t>
  </si>
  <si>
    <t>Wallet</t>
  </si>
  <si>
    <t>Audrey Cooper</t>
  </si>
  <si>
    <t>Monitor</t>
  </si>
  <si>
    <t>Nathan Perez</t>
  </si>
  <si>
    <t>Electric Shaver</t>
  </si>
  <si>
    <t>Stella Murphy</t>
  </si>
  <si>
    <t>Toaster Oven</t>
  </si>
  <si>
    <t>Owen Hughes</t>
  </si>
  <si>
    <t>Gaming Mouse</t>
  </si>
  <si>
    <t>Leah Richardson</t>
  </si>
  <si>
    <t>Scarf</t>
  </si>
  <si>
    <t>Caleb Morgan</t>
  </si>
  <si>
    <t>Wi-Fi Router</t>
  </si>
  <si>
    <t>Mila Bennett</t>
  </si>
  <si>
    <t>Body Lotion</t>
  </si>
  <si>
    <t>Julian Rivera</t>
  </si>
  <si>
    <t>Electric Kettle</t>
  </si>
  <si>
    <t>Layla Martinez</t>
  </si>
  <si>
    <t>Phone Case</t>
  </si>
  <si>
    <t>Isaac Foster</t>
  </si>
  <si>
    <t>T-Shirt</t>
  </si>
  <si>
    <t>Nora Bailey</t>
  </si>
  <si>
    <t>Lipstick</t>
  </si>
  <si>
    <t>Row</t>
  </si>
  <si>
    <t>Column</t>
  </si>
  <si>
    <t>NULL</t>
  </si>
  <si>
    <t>TOTAL PRICE</t>
  </si>
  <si>
    <t>TOTAL REVENUE</t>
  </si>
  <si>
    <t>TOTAL QUANTITY</t>
  </si>
  <si>
    <t>AVERAGE PRICE</t>
  </si>
  <si>
    <t>AVERAGE REVENUE</t>
  </si>
  <si>
    <t>average quantity</t>
  </si>
  <si>
    <t>total male</t>
  </si>
  <si>
    <t>total female</t>
  </si>
  <si>
    <t>revenue</t>
  </si>
  <si>
    <t>REGION</t>
  </si>
  <si>
    <t>north</t>
  </si>
  <si>
    <t>south</t>
  </si>
  <si>
    <t>west</t>
  </si>
  <si>
    <t>east</t>
  </si>
  <si>
    <t>Row Labels</t>
  </si>
  <si>
    <t>Grand Total</t>
  </si>
  <si>
    <t>Column Labels</t>
  </si>
  <si>
    <t>Sum of Revenue (USD)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</si>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</sst>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20"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9.587746180558" createdVersion="8" refreshedVersion="8" minRefreshableVersion="3" recordCount="43" xr:uid="{AEBC30BF-80ED-44C8-9396-AC61D4CAAC82}">
  <cacheSource type="worksheet">
    <worksheetSource name="Table1"/>
  </cacheSource>
  <cacheFields count="10">
    <cacheField name="Date" numFmtId="14">
      <sharedItems containsSemiMixedTypes="0" containsNonDate="0" containsDate="1" containsString="0" minDate="2025-01-01T00:00:00" maxDate="2025-02-13T00:00:00"/>
    </cacheField>
    <cacheField name="Customer Name" numFmtId="0">
      <sharedItems count="43">
        <s v="Alice Smith"/>
        <s v="John Doe"/>
        <s v="Maria Gonzalez"/>
        <s v="Michael Brown"/>
        <s v="Sarah Johnson"/>
        <s v="Chris Lee"/>
        <s v="Emily Davis"/>
        <s v="James Taylor"/>
        <s v="Olivia Wilson"/>
        <s v="Ethan Moore"/>
        <s v="Sophia Martin"/>
        <s v="Daniel White"/>
        <s v="Chloe Thomas"/>
        <s v="Benjamin Clark"/>
        <s v="Isabella Scott"/>
        <s v="William Hall"/>
        <s v="Grace Adams"/>
        <s v="Mason Baker"/>
        <s v="Ella Parker"/>
        <s v="Lucas Phillips"/>
        <s v="Zoe Mitchell"/>
        <s v="Henry Carter"/>
        <s v="Lily Roberts"/>
        <s v="Jack Turner"/>
        <s v="Natalie Lewis"/>
        <s v="Andrew Young"/>
        <s v="Victoria Walker"/>
        <s v="Samuel King"/>
        <s v="Harper Wright"/>
        <s v="Elijah Hill"/>
        <s v="Scarlett Green"/>
        <s v="Dylan Edwards"/>
        <s v="Audrey Cooper"/>
        <s v="Nathan Perez"/>
        <s v="Stella Murphy"/>
        <s v="Owen Hughes"/>
        <s v="Leah Richardson"/>
        <s v="Caleb Morgan"/>
        <s v="Mila Bennett"/>
        <s v="Julian Rivera"/>
        <s v="Layla Martinez"/>
        <s v="Isaac Foster"/>
        <s v="Nora Bailey"/>
      </sharedItems>
    </cacheField>
    <cacheField name="Age" numFmtId="1">
      <sharedItems containsSemiMixedTypes="0" containsString="0" containsNumber="1" containsInteger="1" minValue="24" maxValue="45" count="20">
        <n v="32"/>
        <n v="28"/>
        <n v="41"/>
        <n v="36"/>
        <n v="25"/>
        <n v="30"/>
        <n v="29"/>
        <n v="40"/>
        <n v="27"/>
        <n v="35"/>
        <n v="33"/>
        <n v="45"/>
        <n v="26"/>
        <n v="31"/>
        <n v="24"/>
        <n v="37"/>
        <n v="34"/>
        <n v="42"/>
        <n v="38"/>
        <n v="39"/>
      </sharedItems>
    </cacheField>
    <cacheField name="Gender" numFmtId="0">
      <sharedItems count="2">
        <s v="Female"/>
        <s v="Male"/>
      </sharedItems>
    </cacheField>
    <cacheField name="Region" numFmtId="0">
      <sharedItems count="4">
        <s v="North"/>
        <s v="South"/>
        <s v="West"/>
        <s v="East"/>
      </sharedItems>
    </cacheField>
    <cacheField name="Product Category" numFmtId="0">
      <sharedItems count="4">
        <s v="Electronics"/>
        <s v="Fashion"/>
        <s v="Home &amp; Kitchen"/>
        <s v="Beauty"/>
      </sharedItems>
    </cacheField>
    <cacheField name="Product Name" numFmtId="0">
      <sharedItems/>
    </cacheField>
    <cacheField name="Quantity" numFmtId="1">
      <sharedItems containsSemiMixedTypes="0" containsString="0" containsNumber="1" containsInteger="1" minValue="1" maxValue="3"/>
    </cacheField>
    <cacheField name="Price (USD)" numFmtId="164">
      <sharedItems containsSemiMixedTypes="0" containsString="0" containsNumber="1" containsInteger="1" minValue="10" maxValue="999"/>
    </cacheField>
    <cacheField name="Revenue (USD)" numFmtId="164">
      <sharedItems containsSemiMixedTypes="0" containsString="0" containsNumber="1" containsInteger="1" minValue="25" maxValue="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5-01-01T00:00:00"/>
    <x v="0"/>
    <x v="0"/>
    <x v="0"/>
    <x v="0"/>
    <x v="0"/>
    <s v="Smartphone"/>
    <n v="1"/>
    <n v="699"/>
    <n v="699"/>
  </r>
  <r>
    <d v="2025-01-02T00:00:00"/>
    <x v="1"/>
    <x v="1"/>
    <x v="1"/>
    <x v="1"/>
    <x v="1"/>
    <s v="Sneakers"/>
    <n v="2"/>
    <n v="50"/>
    <n v="100"/>
  </r>
  <r>
    <d v="2025-01-03T00:00:00"/>
    <x v="2"/>
    <x v="2"/>
    <x v="0"/>
    <x v="2"/>
    <x v="2"/>
    <s v="Blender"/>
    <n v="1"/>
    <n v="120"/>
    <n v="120"/>
  </r>
  <r>
    <d v="2025-01-04T00:00:00"/>
    <x v="3"/>
    <x v="3"/>
    <x v="1"/>
    <x v="3"/>
    <x v="0"/>
    <s v="Laptop"/>
    <n v="1"/>
    <n v="999"/>
    <n v="999"/>
  </r>
  <r>
    <d v="2025-01-05T00:00:00"/>
    <x v="4"/>
    <x v="4"/>
    <x v="0"/>
    <x v="0"/>
    <x v="3"/>
    <s v="Skincare Kit"/>
    <n v="3"/>
    <n v="20"/>
    <n v="60"/>
  </r>
  <r>
    <d v="2025-01-06T00:00:00"/>
    <x v="5"/>
    <x v="5"/>
    <x v="1"/>
    <x v="1"/>
    <x v="0"/>
    <s v="Smartwatch"/>
    <n v="2"/>
    <n v="199"/>
    <n v="398"/>
  </r>
  <r>
    <d v="2025-01-07T00:00:00"/>
    <x v="6"/>
    <x v="6"/>
    <x v="0"/>
    <x v="2"/>
    <x v="1"/>
    <s v="Jacket"/>
    <n v="1"/>
    <n v="120"/>
    <n v="120"/>
  </r>
  <r>
    <d v="2025-01-08T00:00:00"/>
    <x v="7"/>
    <x v="7"/>
    <x v="1"/>
    <x v="3"/>
    <x v="2"/>
    <s v="Microwave Oven"/>
    <n v="1"/>
    <n v="300"/>
    <n v="300"/>
  </r>
  <r>
    <d v="2025-01-09T00:00:00"/>
    <x v="8"/>
    <x v="8"/>
    <x v="0"/>
    <x v="0"/>
    <x v="0"/>
    <s v="Headphones"/>
    <n v="2"/>
    <n v="50"/>
    <n v="100"/>
  </r>
  <r>
    <d v="2025-01-10T00:00:00"/>
    <x v="9"/>
    <x v="9"/>
    <x v="1"/>
    <x v="1"/>
    <x v="3"/>
    <s v="Perfume"/>
    <n v="1"/>
    <n v="75"/>
    <n v="75"/>
  </r>
  <r>
    <d v="2025-01-11T00:00:00"/>
    <x v="10"/>
    <x v="10"/>
    <x v="0"/>
    <x v="2"/>
    <x v="1"/>
    <s v="Handbag"/>
    <n v="1"/>
    <n v="150"/>
    <n v="150"/>
  </r>
  <r>
    <d v="2025-01-12T00:00:00"/>
    <x v="11"/>
    <x v="11"/>
    <x v="1"/>
    <x v="3"/>
    <x v="0"/>
    <s v="Tablet"/>
    <n v="1"/>
    <n v="350"/>
    <n v="350"/>
  </r>
  <r>
    <d v="2025-01-13T00:00:00"/>
    <x v="12"/>
    <x v="12"/>
    <x v="0"/>
    <x v="0"/>
    <x v="2"/>
    <s v="Coffee Maker"/>
    <n v="1"/>
    <n v="80"/>
    <n v="80"/>
  </r>
  <r>
    <d v="2025-01-14T00:00:00"/>
    <x v="13"/>
    <x v="13"/>
    <x v="1"/>
    <x v="1"/>
    <x v="1"/>
    <s v="Watch"/>
    <n v="1"/>
    <n v="200"/>
    <n v="200"/>
  </r>
  <r>
    <d v="2025-01-15T00:00:00"/>
    <x v="14"/>
    <x v="14"/>
    <x v="0"/>
    <x v="2"/>
    <x v="3"/>
    <s v="Hair Dryer"/>
    <n v="1"/>
    <n v="50"/>
    <n v="50"/>
  </r>
  <r>
    <d v="2025-01-16T00:00:00"/>
    <x v="15"/>
    <x v="15"/>
    <x v="1"/>
    <x v="3"/>
    <x v="0"/>
    <s v="Gaming Console"/>
    <n v="1"/>
    <n v="500"/>
    <n v="500"/>
  </r>
  <r>
    <d v="2025-01-17T00:00:00"/>
    <x v="16"/>
    <x v="1"/>
    <x v="0"/>
    <x v="0"/>
    <x v="1"/>
    <s v="Sunglasses"/>
    <n v="1"/>
    <n v="100"/>
    <n v="100"/>
  </r>
  <r>
    <d v="2025-01-18T00:00:00"/>
    <x v="17"/>
    <x v="16"/>
    <x v="1"/>
    <x v="1"/>
    <x v="0"/>
    <s v="Camera"/>
    <n v="1"/>
    <n v="650"/>
    <n v="650"/>
  </r>
  <r>
    <d v="2025-01-19T00:00:00"/>
    <x v="18"/>
    <x v="17"/>
    <x v="0"/>
    <x v="2"/>
    <x v="2"/>
    <s v="Air Fryer"/>
    <n v="1"/>
    <n v="150"/>
    <n v="150"/>
  </r>
  <r>
    <d v="2025-01-20T00:00:00"/>
    <x v="19"/>
    <x v="18"/>
    <x v="1"/>
    <x v="3"/>
    <x v="0"/>
    <s v="Smart Speaker"/>
    <n v="1"/>
    <n v="150"/>
    <n v="150"/>
  </r>
  <r>
    <d v="2025-01-21T00:00:00"/>
    <x v="20"/>
    <x v="5"/>
    <x v="0"/>
    <x v="0"/>
    <x v="3"/>
    <s v="Makeup Set"/>
    <n v="1"/>
    <n v="45"/>
    <n v="45"/>
  </r>
  <r>
    <d v="2025-01-22T00:00:00"/>
    <x v="21"/>
    <x v="6"/>
    <x v="1"/>
    <x v="1"/>
    <x v="1"/>
    <s v="Sports Shoes"/>
    <n v="2"/>
    <n v="60"/>
    <n v="120"/>
  </r>
  <r>
    <d v="2025-01-23T00:00:00"/>
    <x v="22"/>
    <x v="8"/>
    <x v="0"/>
    <x v="2"/>
    <x v="0"/>
    <s v="Power Bank"/>
    <n v="1"/>
    <n v="30"/>
    <n v="30"/>
  </r>
  <r>
    <d v="2025-01-24T00:00:00"/>
    <x v="23"/>
    <x v="0"/>
    <x v="1"/>
    <x v="3"/>
    <x v="2"/>
    <s v="Vacuum Cleaner"/>
    <n v="1"/>
    <n v="200"/>
    <n v="200"/>
  </r>
  <r>
    <d v="2025-01-25T00:00:00"/>
    <x v="24"/>
    <x v="10"/>
    <x v="0"/>
    <x v="0"/>
    <x v="0"/>
    <s v="Bluetooth Speaker"/>
    <n v="1"/>
    <n v="100"/>
    <n v="100"/>
  </r>
  <r>
    <d v="2025-01-26T00:00:00"/>
    <x v="25"/>
    <x v="1"/>
    <x v="1"/>
    <x v="1"/>
    <x v="3"/>
    <s v="Beard Trimmer"/>
    <n v="1"/>
    <n v="40"/>
    <n v="40"/>
  </r>
  <r>
    <d v="2025-01-27T00:00:00"/>
    <x v="26"/>
    <x v="13"/>
    <x v="0"/>
    <x v="2"/>
    <x v="1"/>
    <s v="Winter Coat"/>
    <n v="1"/>
    <n v="180"/>
    <n v="180"/>
  </r>
  <r>
    <d v="2025-01-28T00:00:00"/>
    <x v="27"/>
    <x v="19"/>
    <x v="1"/>
    <x v="3"/>
    <x v="0"/>
    <s v="Drone"/>
    <n v="1"/>
    <n v="900"/>
    <n v="900"/>
  </r>
  <r>
    <d v="2025-01-29T00:00:00"/>
    <x v="28"/>
    <x v="4"/>
    <x v="0"/>
    <x v="0"/>
    <x v="2"/>
    <s v="Slow Cooker"/>
    <n v="1"/>
    <n v="110"/>
    <n v="110"/>
  </r>
  <r>
    <d v="2025-01-30T00:00:00"/>
    <x v="29"/>
    <x v="3"/>
    <x v="1"/>
    <x v="1"/>
    <x v="0"/>
    <s v="External Hard Drive"/>
    <n v="1"/>
    <n v="80"/>
    <n v="80"/>
  </r>
  <r>
    <d v="2025-01-31T00:00:00"/>
    <x v="30"/>
    <x v="6"/>
    <x v="0"/>
    <x v="2"/>
    <x v="3"/>
    <s v="Nail Polish Kit"/>
    <n v="2"/>
    <n v="20"/>
    <n v="40"/>
  </r>
  <r>
    <d v="2025-02-01T00:00:00"/>
    <x v="31"/>
    <x v="16"/>
    <x v="1"/>
    <x v="3"/>
    <x v="1"/>
    <s v="Wallet"/>
    <n v="1"/>
    <n v="70"/>
    <n v="70"/>
  </r>
  <r>
    <d v="2025-02-02T00:00:00"/>
    <x v="32"/>
    <x v="8"/>
    <x v="0"/>
    <x v="0"/>
    <x v="0"/>
    <s v="Monitor"/>
    <n v="1"/>
    <n v="300"/>
    <n v="300"/>
  </r>
  <r>
    <d v="2025-02-03T00:00:00"/>
    <x v="33"/>
    <x v="9"/>
    <x v="1"/>
    <x v="1"/>
    <x v="3"/>
    <s v="Electric Shaver"/>
    <n v="1"/>
    <n v="60"/>
    <n v="60"/>
  </r>
  <r>
    <d v="2025-02-04T00:00:00"/>
    <x v="34"/>
    <x v="5"/>
    <x v="0"/>
    <x v="2"/>
    <x v="2"/>
    <s v="Toaster Oven"/>
    <n v="1"/>
    <n v="90"/>
    <n v="90"/>
  </r>
  <r>
    <d v="2025-02-05T00:00:00"/>
    <x v="35"/>
    <x v="0"/>
    <x v="1"/>
    <x v="3"/>
    <x v="0"/>
    <s v="Gaming Mouse"/>
    <n v="2"/>
    <n v="40"/>
    <n v="80"/>
  </r>
  <r>
    <d v="2025-02-06T00:00:00"/>
    <x v="36"/>
    <x v="2"/>
    <x v="0"/>
    <x v="0"/>
    <x v="1"/>
    <s v="Scarf"/>
    <n v="1"/>
    <n v="25"/>
    <n v="25"/>
  </r>
  <r>
    <d v="2025-02-07T00:00:00"/>
    <x v="37"/>
    <x v="12"/>
    <x v="1"/>
    <x v="1"/>
    <x v="0"/>
    <s v="Wi-Fi Router"/>
    <n v="1"/>
    <n v="150"/>
    <n v="150"/>
  </r>
  <r>
    <d v="2025-02-08T00:00:00"/>
    <x v="38"/>
    <x v="1"/>
    <x v="0"/>
    <x v="2"/>
    <x v="3"/>
    <s v="Body Lotion"/>
    <n v="2"/>
    <n v="15"/>
    <n v="30"/>
  </r>
  <r>
    <d v="2025-02-09T00:00:00"/>
    <x v="39"/>
    <x v="7"/>
    <x v="1"/>
    <x v="3"/>
    <x v="2"/>
    <s v="Electric Kettle"/>
    <n v="1"/>
    <n v="50"/>
    <n v="50"/>
  </r>
  <r>
    <d v="2025-02-10T00:00:00"/>
    <x v="40"/>
    <x v="6"/>
    <x v="0"/>
    <x v="0"/>
    <x v="0"/>
    <s v="Phone Case"/>
    <n v="3"/>
    <n v="10"/>
    <n v="30"/>
  </r>
  <r>
    <d v="2025-02-11T00:00:00"/>
    <x v="41"/>
    <x v="10"/>
    <x v="1"/>
    <x v="1"/>
    <x v="1"/>
    <s v="T-Shirt"/>
    <n v="2"/>
    <n v="30"/>
    <n v="60"/>
  </r>
  <r>
    <d v="2025-02-12T00:00:00"/>
    <x v="42"/>
    <x v="14"/>
    <x v="0"/>
    <x v="2"/>
    <x v="3"/>
    <s v="Lipstick"/>
    <n v="1"/>
    <n v="25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9EF40-7D69-4C21-BFAA-6003602088E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6" firstHeaderRow="1" firstDataRow="2" firstDataCol="1" rowPageCount="3" colPageCount="1"/>
  <pivotFields count="10">
    <pivotField numFmtId="14" showAll="0"/>
    <pivotField axis="axisRow" showAll="0">
      <items count="44">
        <item x="0"/>
        <item x="25"/>
        <item x="32"/>
        <item x="13"/>
        <item x="37"/>
        <item x="12"/>
        <item x="5"/>
        <item x="11"/>
        <item x="31"/>
        <item x="29"/>
        <item x="18"/>
        <item x="6"/>
        <item x="9"/>
        <item x="16"/>
        <item x="28"/>
        <item x="21"/>
        <item x="41"/>
        <item x="14"/>
        <item x="23"/>
        <item x="7"/>
        <item x="1"/>
        <item x="39"/>
        <item x="40"/>
        <item x="36"/>
        <item x="22"/>
        <item x="19"/>
        <item x="2"/>
        <item x="17"/>
        <item x="3"/>
        <item x="38"/>
        <item x="24"/>
        <item x="33"/>
        <item x="42"/>
        <item x="8"/>
        <item x="35"/>
        <item x="27"/>
        <item x="4"/>
        <item x="30"/>
        <item x="10"/>
        <item x="34"/>
        <item x="26"/>
        <item x="15"/>
        <item x="20"/>
        <item t="default"/>
      </items>
    </pivotField>
    <pivotField axis="axisPage" numFmtId="1" showAll="0">
      <items count="21">
        <item x="14"/>
        <item x="4"/>
        <item x="12"/>
        <item x="8"/>
        <item x="1"/>
        <item x="6"/>
        <item x="5"/>
        <item x="13"/>
        <item x="0"/>
        <item x="10"/>
        <item x="16"/>
        <item x="9"/>
        <item x="3"/>
        <item x="15"/>
        <item x="18"/>
        <item x="19"/>
        <item x="7"/>
        <item x="2"/>
        <item x="17"/>
        <item x="11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axis="axisPage" showAll="0">
      <items count="5">
        <item x="3"/>
        <item x="0"/>
        <item x="1"/>
        <item x="2"/>
        <item t="default"/>
      </items>
    </pivotField>
    <pivotField showAll="0"/>
    <pivotField numFmtId="1" showAll="0"/>
    <pivotField numFmtId="164" showAll="0"/>
    <pivotField dataField="1" numFmtId="164" showAll="0"/>
  </pivotFields>
  <rowFields count="1">
    <field x="1"/>
  </rowFields>
  <rowItems count="10">
    <i>
      <x v="1"/>
    </i>
    <i>
      <x v="12"/>
    </i>
    <i>
      <x v="17"/>
    </i>
    <i>
      <x v="29"/>
    </i>
    <i>
      <x v="31"/>
    </i>
    <i>
      <x v="32"/>
    </i>
    <i>
      <x v="36"/>
    </i>
    <i>
      <x v="37"/>
    </i>
    <i>
      <x v="42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pageFields count="3">
    <pageField fld="2" hier="-1"/>
    <pageField fld="3" hier="-1"/>
    <pageField fld="5" item="0" hier="-1"/>
  </pageFields>
  <dataFields count="1">
    <dataField name="Sum of Revenue (USD)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17994-5372-4ECD-B095-00A65DC14FC1}" name="Table1" displayName="Table1" ref="A1:J44" totalsRowShown="0" headerRowDxfId="19" headerRowBorderDxfId="18" tableBorderDxfId="17" totalsRowBorderDxfId="16">
  <autoFilter ref="A1:J44" xr:uid="{B4D3E4B8-5A6C-4317-977C-915B09A5E498}"/>
  <tableColumns count="10">
    <tableColumn id="1" xr3:uid="{1F68269B-011D-4789-B42B-A29F8F2CC175}" name="Date" dataDxfId="15"/>
    <tableColumn id="2" xr3:uid="{4CF6E15F-9778-4020-85B3-44C524DCB398}" name="Customer Name" dataDxfId="14"/>
    <tableColumn id="3" xr3:uid="{709713AE-FAEA-448C-B0F0-258008A2D34E}" name="Age" dataDxfId="13"/>
    <tableColumn id="4" xr3:uid="{CB35E03B-598B-49C3-8EBB-4B929A6A4127}" name="Gender" dataDxfId="12"/>
    <tableColumn id="5" xr3:uid="{AB0C1345-3933-4FCA-A1EC-CF66BECB927E}" name="Region" dataDxfId="11"/>
    <tableColumn id="6" xr3:uid="{C98102C8-F3BD-4303-9282-8615EDDE97F4}" name="Product Category" dataDxfId="10"/>
    <tableColumn id="7" xr3:uid="{0016A9B6-907E-4211-A3E0-4235FC8E955A}" name="Product Name" dataDxfId="9"/>
    <tableColumn id="8" xr3:uid="{78B01A54-D5BC-4B24-AE61-EF4738CF7462}" name="Quantity" dataDxfId="8"/>
    <tableColumn id="9" xr3:uid="{EE480559-EFB0-4F6E-98E8-351D1AFBDAFF}" name="Price (USD)" dataDxfId="7"/>
    <tableColumn id="10" xr3:uid="{A559212E-3861-49DD-ADC2-655A7303A9E3}" name="Revenue (USD)" dataDxfId="6">
      <calculatedColumnFormula>PRODUCT(H2,I2)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C8AB8-0C5E-4F1F-B034-DCB03207EB70}" name="Table3" displayName="Table3" ref="M20:N24" totalsRowShown="0" headerRowDxfId="5">
  <autoFilter ref="M20:N24" xr:uid="{523C8AB8-0C5E-4F1F-B034-DCB03207EB70}"/>
  <tableColumns count="2">
    <tableColumn id="1" xr3:uid="{806E722A-4F61-498D-A474-BDFB9C5F3506}" name="REGION" dataDxfId="4"/>
    <tableColumn id="2" xr3:uid="{D9D77DD9-A3C5-46F2-B590-2FB7AF470F84}" name="revenue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B8FAE0-52E5-41E6-832D-8EA80200B266}" name="Table5" displayName="Table5" ref="O13:P17" totalsRowShown="0" headerRowDxfId="2">
  <autoFilter ref="O13:P17" xr:uid="{78B8FAE0-52E5-41E6-832D-8EA80200B266}"/>
  <tableColumns count="2">
    <tableColumn id="1" xr3:uid="{A45987D8-6017-4F07-96D8-A6B284B9C304}" name="Product Category" dataDxfId="1"/>
    <tableColumn id="2" xr3:uid="{6E48DBBA-BB5A-4837-A5BB-1FBBDD5D501D}" name="reven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9232-4784-455B-8D9F-EC982E93F0F6}">
  <dimension ref="A1:E16"/>
  <sheetViews>
    <sheetView workbookViewId="0">
      <selection activeCell="G10" sqref="G10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4" width="7.5546875" bestFit="1" customWidth="1"/>
    <col min="5" max="6" width="10.77734375" bestFit="1" customWidth="1"/>
    <col min="7" max="7" width="9.44140625" bestFit="1" customWidth="1"/>
    <col min="8" max="8" width="7.5546875" bestFit="1" customWidth="1"/>
    <col min="9" max="9" width="12.109375" bestFit="1" customWidth="1"/>
    <col min="10" max="10" width="16.77734375" bestFit="1" customWidth="1"/>
    <col min="11" max="11" width="19.5546875" bestFit="1" customWidth="1"/>
    <col min="12" max="12" width="10.77734375" bestFit="1" customWidth="1"/>
  </cols>
  <sheetData>
    <row r="1" spans="1:5" x14ac:dyDescent="0.3">
      <c r="A1" s="19" t="s">
        <v>2</v>
      </c>
      <c r="B1" t="s">
        <v>127</v>
      </c>
    </row>
    <row r="2" spans="1:5" x14ac:dyDescent="0.3">
      <c r="A2" s="19" t="s">
        <v>3</v>
      </c>
      <c r="B2" t="s">
        <v>127</v>
      </c>
    </row>
    <row r="3" spans="1:5" x14ac:dyDescent="0.3">
      <c r="A3" s="19" t="s">
        <v>5</v>
      </c>
      <c r="B3" t="s">
        <v>28</v>
      </c>
    </row>
    <row r="5" spans="1:5" x14ac:dyDescent="0.3">
      <c r="A5" s="19" t="s">
        <v>126</v>
      </c>
      <c r="B5" s="19" t="s">
        <v>125</v>
      </c>
    </row>
    <row r="6" spans="1:5" x14ac:dyDescent="0.3">
      <c r="A6" s="19" t="s">
        <v>123</v>
      </c>
      <c r="B6" t="s">
        <v>12</v>
      </c>
      <c r="C6" t="s">
        <v>17</v>
      </c>
      <c r="D6" t="s">
        <v>21</v>
      </c>
      <c r="E6" t="s">
        <v>124</v>
      </c>
    </row>
    <row r="7" spans="1:5" x14ac:dyDescent="0.3">
      <c r="A7" s="20" t="s">
        <v>70</v>
      </c>
      <c r="B7" s="21"/>
      <c r="C7" s="21">
        <v>40</v>
      </c>
      <c r="D7" s="21"/>
      <c r="E7" s="21">
        <v>40</v>
      </c>
    </row>
    <row r="8" spans="1:5" x14ac:dyDescent="0.3">
      <c r="A8" s="20" t="s">
        <v>38</v>
      </c>
      <c r="B8" s="21"/>
      <c r="C8" s="21">
        <v>75</v>
      </c>
      <c r="D8" s="21"/>
      <c r="E8" s="21">
        <v>75</v>
      </c>
    </row>
    <row r="9" spans="1:5" x14ac:dyDescent="0.3">
      <c r="A9" s="20" t="s">
        <v>48</v>
      </c>
      <c r="B9" s="21"/>
      <c r="C9" s="21"/>
      <c r="D9" s="21">
        <v>50</v>
      </c>
      <c r="E9" s="21">
        <v>50</v>
      </c>
    </row>
    <row r="10" spans="1:5" x14ac:dyDescent="0.3">
      <c r="A10" s="20" t="s">
        <v>96</v>
      </c>
      <c r="B10" s="21"/>
      <c r="C10" s="21"/>
      <c r="D10" s="21">
        <v>30</v>
      </c>
      <c r="E10" s="21">
        <v>30</v>
      </c>
    </row>
    <row r="11" spans="1:5" x14ac:dyDescent="0.3">
      <c r="A11" s="20" t="s">
        <v>86</v>
      </c>
      <c r="B11" s="21"/>
      <c r="C11" s="21">
        <v>60</v>
      </c>
      <c r="D11" s="21"/>
      <c r="E11" s="21">
        <v>60</v>
      </c>
    </row>
    <row r="12" spans="1:5" x14ac:dyDescent="0.3">
      <c r="A12" s="20" t="s">
        <v>104</v>
      </c>
      <c r="B12" s="21"/>
      <c r="C12" s="21"/>
      <c r="D12" s="21">
        <v>25</v>
      </c>
      <c r="E12" s="21">
        <v>25</v>
      </c>
    </row>
    <row r="13" spans="1:5" x14ac:dyDescent="0.3">
      <c r="A13" s="20" t="s">
        <v>27</v>
      </c>
      <c r="B13" s="21">
        <v>60</v>
      </c>
      <c r="C13" s="21"/>
      <c r="D13" s="21"/>
      <c r="E13" s="21">
        <v>60</v>
      </c>
    </row>
    <row r="14" spans="1:5" x14ac:dyDescent="0.3">
      <c r="A14" s="20" t="s">
        <v>80</v>
      </c>
      <c r="B14" s="21"/>
      <c r="C14" s="21"/>
      <c r="D14" s="21">
        <v>40</v>
      </c>
      <c r="E14" s="21">
        <v>40</v>
      </c>
    </row>
    <row r="15" spans="1:5" x14ac:dyDescent="0.3">
      <c r="A15" s="20" t="s">
        <v>60</v>
      </c>
      <c r="B15" s="21">
        <v>45</v>
      </c>
      <c r="C15" s="21"/>
      <c r="D15" s="21"/>
      <c r="E15" s="21">
        <v>45</v>
      </c>
    </row>
    <row r="16" spans="1:5" x14ac:dyDescent="0.3">
      <c r="A16" s="20" t="s">
        <v>124</v>
      </c>
      <c r="B16" s="21">
        <v>105</v>
      </c>
      <c r="C16" s="21">
        <v>175</v>
      </c>
      <c r="D16" s="21">
        <v>145</v>
      </c>
      <c r="E16" s="21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E4B8-5A6C-4317-977C-915B09A5E498}">
  <dimension ref="A1:T47"/>
  <sheetViews>
    <sheetView tabSelected="1" topLeftCell="A27" zoomScaleNormal="100" workbookViewId="0">
      <selection activeCell="D22" sqref="D22"/>
    </sheetView>
  </sheetViews>
  <sheetFormatPr defaultRowHeight="14.4" x14ac:dyDescent="0.3"/>
  <cols>
    <col min="1" max="1" width="12.6640625" style="2" bestFit="1" customWidth="1"/>
    <col min="2" max="2" width="22.33203125" style="2" bestFit="1" customWidth="1"/>
    <col min="3" max="3" width="12.109375" style="2" bestFit="1" customWidth="1"/>
    <col min="4" max="4" width="15.109375" style="2" bestFit="1" customWidth="1"/>
    <col min="5" max="5" width="14.77734375" style="2" bestFit="1" customWidth="1"/>
    <col min="6" max="6" width="23.77734375" style="2" bestFit="1" customWidth="1"/>
    <col min="7" max="7" width="20.88671875" style="2" bestFit="1" customWidth="1"/>
    <col min="8" max="8" width="15.88671875" style="2" bestFit="1" customWidth="1"/>
    <col min="9" max="9" width="18.44140625" style="2" bestFit="1" customWidth="1"/>
    <col min="10" max="10" width="21.77734375" style="2" bestFit="1" customWidth="1"/>
    <col min="11" max="12" width="8.88671875" style="2"/>
    <col min="13" max="13" width="23.109375" style="2" bestFit="1" customWidth="1"/>
    <col min="14" max="14" width="10.109375" style="2" bestFit="1" customWidth="1"/>
    <col min="15" max="15" width="18.109375" style="2" bestFit="1" customWidth="1"/>
    <col min="16" max="16" width="17.88671875" style="2" customWidth="1"/>
    <col min="17" max="19" width="8.88671875" style="2"/>
    <col min="20" max="20" width="20.33203125" style="2" bestFit="1" customWidth="1"/>
    <col min="21" max="16384" width="8.88671875" style="2"/>
  </cols>
  <sheetData>
    <row r="1" spans="1:20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M1" s="2" t="s">
        <v>106</v>
      </c>
      <c r="N1" s="2">
        <f>COUNT(A2:A44)</f>
        <v>43</v>
      </c>
    </row>
    <row r="2" spans="1:20" x14ac:dyDescent="0.3">
      <c r="A2" s="8">
        <v>45658</v>
      </c>
      <c r="B2" s="1" t="s">
        <v>10</v>
      </c>
      <c r="C2" s="4">
        <v>32</v>
      </c>
      <c r="D2" s="1" t="s">
        <v>11</v>
      </c>
      <c r="E2" s="1" t="s">
        <v>12</v>
      </c>
      <c r="F2" s="1" t="s">
        <v>13</v>
      </c>
      <c r="G2" s="1" t="s">
        <v>14</v>
      </c>
      <c r="H2" s="4">
        <v>1</v>
      </c>
      <c r="I2" s="5">
        <v>699</v>
      </c>
      <c r="J2" s="9">
        <f>PRODUCT(H2,I2)</f>
        <v>699</v>
      </c>
      <c r="K2" s="3"/>
      <c r="M2" s="2" t="s">
        <v>108</v>
      </c>
      <c r="N2" s="2">
        <f>COUNTBLANK(A1:J44)</f>
        <v>0</v>
      </c>
    </row>
    <row r="3" spans="1:20" x14ac:dyDescent="0.3">
      <c r="A3" s="8">
        <v>45659</v>
      </c>
      <c r="B3" s="1" t="s">
        <v>15</v>
      </c>
      <c r="C3" s="4">
        <v>28</v>
      </c>
      <c r="D3" s="1" t="s">
        <v>16</v>
      </c>
      <c r="E3" s="1" t="s">
        <v>17</v>
      </c>
      <c r="F3" s="1" t="s">
        <v>18</v>
      </c>
      <c r="G3" s="1" t="s">
        <v>19</v>
      </c>
      <c r="H3" s="4">
        <v>2</v>
      </c>
      <c r="I3" s="5">
        <v>50</v>
      </c>
      <c r="J3" s="9">
        <f t="shared" ref="J3:J44" si="0">PRODUCT(H3,I3)</f>
        <v>100</v>
      </c>
      <c r="M3" s="6" t="s">
        <v>107</v>
      </c>
      <c r="N3" s="2">
        <f>COUNTA(A1:J1)</f>
        <v>10</v>
      </c>
      <c r="P3" s="18"/>
      <c r="Q3" s="18"/>
      <c r="R3" s="18"/>
    </row>
    <row r="4" spans="1:20" x14ac:dyDescent="0.3">
      <c r="A4" s="8">
        <v>45660</v>
      </c>
      <c r="B4" s="1" t="s">
        <v>20</v>
      </c>
      <c r="C4" s="4">
        <v>41</v>
      </c>
      <c r="D4" s="1" t="s">
        <v>11</v>
      </c>
      <c r="E4" s="1" t="s">
        <v>21</v>
      </c>
      <c r="F4" s="1" t="s">
        <v>22</v>
      </c>
      <c r="G4" s="1" t="s">
        <v>23</v>
      </c>
      <c r="H4" s="4">
        <v>1</v>
      </c>
      <c r="I4" s="5">
        <v>120</v>
      </c>
      <c r="J4" s="9">
        <f t="shared" si="0"/>
        <v>120</v>
      </c>
      <c r="M4" s="2" t="s">
        <v>109</v>
      </c>
      <c r="N4" s="3">
        <f>SUM(I2:I44)</f>
        <v>7642</v>
      </c>
      <c r="T4" s="2" t="str" cm="1">
        <f t="array" ref="T4:T47">_xlfn.UNIQUE(G1:G44)</f>
        <v>Product Name</v>
      </c>
    </row>
    <row r="5" spans="1:20" x14ac:dyDescent="0.3">
      <c r="A5" s="8">
        <v>45661</v>
      </c>
      <c r="B5" s="1" t="s">
        <v>24</v>
      </c>
      <c r="C5" s="4">
        <v>36</v>
      </c>
      <c r="D5" s="1" t="s">
        <v>16</v>
      </c>
      <c r="E5" s="1" t="s">
        <v>25</v>
      </c>
      <c r="F5" s="1" t="s">
        <v>13</v>
      </c>
      <c r="G5" s="1" t="s">
        <v>26</v>
      </c>
      <c r="H5" s="4">
        <v>1</v>
      </c>
      <c r="I5" s="5">
        <v>999</v>
      </c>
      <c r="J5" s="9">
        <f t="shared" si="0"/>
        <v>999</v>
      </c>
      <c r="M5" s="2" t="s">
        <v>110</v>
      </c>
      <c r="N5" s="3">
        <f>SUM(J2:J44)</f>
        <v>8166</v>
      </c>
      <c r="Q5" s="18"/>
      <c r="R5" s="18"/>
      <c r="T5" s="2" t="str">
        <v>Smartphone</v>
      </c>
    </row>
    <row r="6" spans="1:20" x14ac:dyDescent="0.3">
      <c r="A6" s="8">
        <v>45662</v>
      </c>
      <c r="B6" s="1" t="s">
        <v>27</v>
      </c>
      <c r="C6" s="4">
        <v>25</v>
      </c>
      <c r="D6" s="1" t="s">
        <v>11</v>
      </c>
      <c r="E6" s="1" t="s">
        <v>12</v>
      </c>
      <c r="F6" s="1" t="s">
        <v>28</v>
      </c>
      <c r="G6" s="1" t="s">
        <v>29</v>
      </c>
      <c r="H6" s="4">
        <v>3</v>
      </c>
      <c r="I6" s="5">
        <v>20</v>
      </c>
      <c r="J6" s="9">
        <f t="shared" si="0"/>
        <v>60</v>
      </c>
      <c r="M6" s="2" t="s">
        <v>112</v>
      </c>
      <c r="N6" s="3">
        <f>AVERAGE(I2:I44)</f>
        <v>177.72093023255815</v>
      </c>
      <c r="T6" s="2" t="str">
        <v>Sneakers</v>
      </c>
    </row>
    <row r="7" spans="1:20" x14ac:dyDescent="0.3">
      <c r="A7" s="8">
        <v>45663</v>
      </c>
      <c r="B7" s="1" t="s">
        <v>30</v>
      </c>
      <c r="C7" s="4">
        <v>30</v>
      </c>
      <c r="D7" s="1" t="s">
        <v>16</v>
      </c>
      <c r="E7" s="1" t="s">
        <v>17</v>
      </c>
      <c r="F7" s="1" t="s">
        <v>13</v>
      </c>
      <c r="G7" s="1" t="s">
        <v>31</v>
      </c>
      <c r="H7" s="4">
        <v>2</v>
      </c>
      <c r="I7" s="5">
        <v>199</v>
      </c>
      <c r="J7" s="9">
        <f t="shared" si="0"/>
        <v>398</v>
      </c>
      <c r="M7" s="2" t="s">
        <v>113</v>
      </c>
      <c r="N7" s="3">
        <f>AVERAGE(J2:J44)</f>
        <v>189.90697674418604</v>
      </c>
      <c r="T7" s="2" t="str">
        <v>Blender</v>
      </c>
    </row>
    <row r="8" spans="1:20" x14ac:dyDescent="0.3">
      <c r="A8" s="8">
        <v>45664</v>
      </c>
      <c r="B8" s="1" t="s">
        <v>32</v>
      </c>
      <c r="C8" s="4">
        <v>29</v>
      </c>
      <c r="D8" s="1" t="s">
        <v>11</v>
      </c>
      <c r="E8" s="1" t="s">
        <v>21</v>
      </c>
      <c r="F8" s="1" t="s">
        <v>18</v>
      </c>
      <c r="G8" s="1" t="s">
        <v>33</v>
      </c>
      <c r="H8" s="4">
        <v>1</v>
      </c>
      <c r="I8" s="5">
        <v>120</v>
      </c>
      <c r="J8" s="9">
        <f t="shared" si="0"/>
        <v>120</v>
      </c>
      <c r="M8" s="2" t="s">
        <v>111</v>
      </c>
      <c r="N8" s="7">
        <f>SUM(H2:H44)</f>
        <v>55</v>
      </c>
      <c r="T8" s="2" t="str">
        <v>Laptop</v>
      </c>
    </row>
    <row r="9" spans="1:20" x14ac:dyDescent="0.3">
      <c r="A9" s="8">
        <v>45665</v>
      </c>
      <c r="B9" s="1" t="s">
        <v>34</v>
      </c>
      <c r="C9" s="4">
        <v>40</v>
      </c>
      <c r="D9" s="1" t="s">
        <v>16</v>
      </c>
      <c r="E9" s="1" t="s">
        <v>25</v>
      </c>
      <c r="F9" s="1" t="s">
        <v>22</v>
      </c>
      <c r="G9" s="1" t="s">
        <v>35</v>
      </c>
      <c r="H9" s="4">
        <v>1</v>
      </c>
      <c r="I9" s="5">
        <v>300</v>
      </c>
      <c r="J9" s="9">
        <f t="shared" si="0"/>
        <v>300</v>
      </c>
      <c r="M9" s="2" t="s">
        <v>114</v>
      </c>
      <c r="N9" s="7">
        <f>AVERAGE(H2:H44)</f>
        <v>1.2790697674418605</v>
      </c>
      <c r="T9" s="2" t="str">
        <v>Skincare Kit</v>
      </c>
    </row>
    <row r="10" spans="1:20" x14ac:dyDescent="0.3">
      <c r="A10" s="8">
        <v>45666</v>
      </c>
      <c r="B10" s="1" t="s">
        <v>36</v>
      </c>
      <c r="C10" s="4">
        <v>27</v>
      </c>
      <c r="D10" s="1" t="s">
        <v>11</v>
      </c>
      <c r="E10" s="1" t="s">
        <v>12</v>
      </c>
      <c r="F10" s="1" t="s">
        <v>13</v>
      </c>
      <c r="G10" s="1" t="s">
        <v>37</v>
      </c>
      <c r="H10" s="4">
        <v>2</v>
      </c>
      <c r="I10" s="5">
        <v>50</v>
      </c>
      <c r="J10" s="9">
        <f t="shared" si="0"/>
        <v>100</v>
      </c>
      <c r="M10" s="2" t="s">
        <v>115</v>
      </c>
      <c r="N10" s="2">
        <f>COUNTIF(D2:D44,"MALE")</f>
        <v>21</v>
      </c>
      <c r="T10" s="2" t="str">
        <v>Smartwatch</v>
      </c>
    </row>
    <row r="11" spans="1:20" x14ac:dyDescent="0.3">
      <c r="A11" s="8">
        <v>45667</v>
      </c>
      <c r="B11" s="1" t="s">
        <v>38</v>
      </c>
      <c r="C11" s="4">
        <v>35</v>
      </c>
      <c r="D11" s="1" t="s">
        <v>16</v>
      </c>
      <c r="E11" s="1" t="s">
        <v>17</v>
      </c>
      <c r="F11" s="1" t="s">
        <v>28</v>
      </c>
      <c r="G11" s="1" t="s">
        <v>39</v>
      </c>
      <c r="H11" s="4">
        <v>1</v>
      </c>
      <c r="I11" s="5">
        <v>75</v>
      </c>
      <c r="J11" s="9">
        <f t="shared" si="0"/>
        <v>75</v>
      </c>
      <c r="M11" s="2" t="s">
        <v>116</v>
      </c>
      <c r="N11" s="2">
        <f>COUNTIF(D2:D44,"female")</f>
        <v>22</v>
      </c>
      <c r="T11" s="2" t="str">
        <v>Jacket</v>
      </c>
    </row>
    <row r="12" spans="1:20" x14ac:dyDescent="0.3">
      <c r="A12" s="8">
        <v>45668</v>
      </c>
      <c r="B12" s="1" t="s">
        <v>40</v>
      </c>
      <c r="C12" s="4">
        <v>33</v>
      </c>
      <c r="D12" s="1" t="s">
        <v>11</v>
      </c>
      <c r="E12" s="1" t="s">
        <v>21</v>
      </c>
      <c r="F12" s="1" t="s">
        <v>18</v>
      </c>
      <c r="G12" s="1" t="s">
        <v>41</v>
      </c>
      <c r="H12" s="4">
        <v>1</v>
      </c>
      <c r="I12" s="5">
        <v>150</v>
      </c>
      <c r="J12" s="9">
        <f t="shared" si="0"/>
        <v>150</v>
      </c>
      <c r="T12" s="2" t="str">
        <v>Microwave Oven</v>
      </c>
    </row>
    <row r="13" spans="1:20" x14ac:dyDescent="0.3">
      <c r="A13" s="8">
        <v>45669</v>
      </c>
      <c r="B13" s="1" t="s">
        <v>42</v>
      </c>
      <c r="C13" s="4">
        <v>45</v>
      </c>
      <c r="D13" s="1" t="s">
        <v>16</v>
      </c>
      <c r="E13" s="1" t="s">
        <v>25</v>
      </c>
      <c r="F13" s="1" t="s">
        <v>13</v>
      </c>
      <c r="G13" s="1" t="s">
        <v>43</v>
      </c>
      <c r="H13" s="4">
        <v>1</v>
      </c>
      <c r="I13" s="5">
        <v>350</v>
      </c>
      <c r="J13" s="9">
        <f t="shared" si="0"/>
        <v>350</v>
      </c>
      <c r="O13" s="2" t="s">
        <v>5</v>
      </c>
      <c r="P13" s="2" t="s">
        <v>117</v>
      </c>
      <c r="T13" s="2" t="str">
        <v>Headphones</v>
      </c>
    </row>
    <row r="14" spans="1:20" x14ac:dyDescent="0.3">
      <c r="A14" s="8">
        <v>45670</v>
      </c>
      <c r="B14" s="1" t="s">
        <v>44</v>
      </c>
      <c r="C14" s="4">
        <v>26</v>
      </c>
      <c r="D14" s="1" t="s">
        <v>11</v>
      </c>
      <c r="E14" s="1" t="s">
        <v>12</v>
      </c>
      <c r="F14" s="1" t="s">
        <v>22</v>
      </c>
      <c r="G14" s="1" t="s">
        <v>45</v>
      </c>
      <c r="H14" s="4">
        <v>1</v>
      </c>
      <c r="I14" s="5">
        <v>80</v>
      </c>
      <c r="J14" s="9">
        <f t="shared" si="0"/>
        <v>80</v>
      </c>
      <c r="O14" s="2" t="s">
        <v>13</v>
      </c>
      <c r="P14" s="3">
        <f>SUMIF(F2:F44,F42,J2:J44)</f>
        <v>5516</v>
      </c>
      <c r="Q14" s="3"/>
      <c r="T14" s="2" t="str">
        <v>Perfume</v>
      </c>
    </row>
    <row r="15" spans="1:20" x14ac:dyDescent="0.3">
      <c r="A15" s="8">
        <v>45671</v>
      </c>
      <c r="B15" s="1" t="s">
        <v>46</v>
      </c>
      <c r="C15" s="4">
        <v>31</v>
      </c>
      <c r="D15" s="1" t="s">
        <v>16</v>
      </c>
      <c r="E15" s="1" t="s">
        <v>17</v>
      </c>
      <c r="F15" s="1" t="s">
        <v>18</v>
      </c>
      <c r="G15" s="1" t="s">
        <v>47</v>
      </c>
      <c r="H15" s="4">
        <v>1</v>
      </c>
      <c r="I15" s="5">
        <v>200</v>
      </c>
      <c r="J15" s="9">
        <f t="shared" si="0"/>
        <v>200</v>
      </c>
      <c r="O15" s="2" t="s">
        <v>18</v>
      </c>
      <c r="P15" s="3">
        <f>SUMIF(F2:F44,F38,J2:J44)</f>
        <v>1125</v>
      </c>
      <c r="Q15" s="3"/>
      <c r="T15" s="2" t="str">
        <v>Handbag</v>
      </c>
    </row>
    <row r="16" spans="1:20" x14ac:dyDescent="0.3">
      <c r="A16" s="8">
        <v>45672</v>
      </c>
      <c r="B16" s="1" t="s">
        <v>48</v>
      </c>
      <c r="C16" s="4">
        <v>24</v>
      </c>
      <c r="D16" s="1" t="s">
        <v>11</v>
      </c>
      <c r="E16" s="1" t="s">
        <v>21</v>
      </c>
      <c r="F16" s="1" t="s">
        <v>28</v>
      </c>
      <c r="G16" s="1" t="s">
        <v>49</v>
      </c>
      <c r="H16" s="4">
        <v>1</v>
      </c>
      <c r="I16" s="5">
        <v>50</v>
      </c>
      <c r="J16" s="9">
        <f t="shared" si="0"/>
        <v>50</v>
      </c>
      <c r="O16" s="2" t="s">
        <v>22</v>
      </c>
      <c r="P16" s="3">
        <f>SUMIF(F2:F44,F41,J2:J44)</f>
        <v>1100</v>
      </c>
      <c r="Q16" s="3"/>
      <c r="T16" s="2" t="str">
        <v>Tablet</v>
      </c>
    </row>
    <row r="17" spans="1:20" x14ac:dyDescent="0.3">
      <c r="A17" s="8">
        <v>45673</v>
      </c>
      <c r="B17" s="1" t="s">
        <v>50</v>
      </c>
      <c r="C17" s="4">
        <v>37</v>
      </c>
      <c r="D17" s="1" t="s">
        <v>16</v>
      </c>
      <c r="E17" s="1" t="s">
        <v>25</v>
      </c>
      <c r="F17" s="1" t="s">
        <v>13</v>
      </c>
      <c r="G17" s="1" t="s">
        <v>51</v>
      </c>
      <c r="H17" s="4">
        <v>1</v>
      </c>
      <c r="I17" s="5">
        <v>500</v>
      </c>
      <c r="J17" s="9">
        <f t="shared" si="0"/>
        <v>500</v>
      </c>
      <c r="O17" s="2" t="s">
        <v>28</v>
      </c>
      <c r="P17" s="3">
        <f>SUMIF(F2:F44,F40,J2:J44)</f>
        <v>425</v>
      </c>
      <c r="Q17" s="3"/>
      <c r="T17" s="2" t="str">
        <v>Coffee Maker</v>
      </c>
    </row>
    <row r="18" spans="1:20" x14ac:dyDescent="0.3">
      <c r="A18" s="8">
        <v>45674</v>
      </c>
      <c r="B18" s="1" t="s">
        <v>52</v>
      </c>
      <c r="C18" s="4">
        <v>28</v>
      </c>
      <c r="D18" s="1" t="s">
        <v>11</v>
      </c>
      <c r="E18" s="1" t="s">
        <v>12</v>
      </c>
      <c r="F18" s="1" t="s">
        <v>18</v>
      </c>
      <c r="G18" s="1" t="s">
        <v>53</v>
      </c>
      <c r="H18" s="4">
        <v>1</v>
      </c>
      <c r="I18" s="5">
        <v>100</v>
      </c>
      <c r="J18" s="9">
        <f t="shared" si="0"/>
        <v>100</v>
      </c>
      <c r="T18" s="2" t="str">
        <v>Watch</v>
      </c>
    </row>
    <row r="19" spans="1:20" x14ac:dyDescent="0.3">
      <c r="A19" s="8">
        <v>45675</v>
      </c>
      <c r="B19" s="1" t="s">
        <v>54</v>
      </c>
      <c r="C19" s="4">
        <v>34</v>
      </c>
      <c r="D19" s="1" t="s">
        <v>16</v>
      </c>
      <c r="E19" s="1" t="s">
        <v>17</v>
      </c>
      <c r="F19" s="1" t="s">
        <v>13</v>
      </c>
      <c r="G19" s="1" t="s">
        <v>55</v>
      </c>
      <c r="H19" s="4">
        <v>1</v>
      </c>
      <c r="I19" s="5">
        <v>650</v>
      </c>
      <c r="J19" s="9">
        <f t="shared" si="0"/>
        <v>650</v>
      </c>
      <c r="T19" s="2" t="str">
        <v>Hair Dryer</v>
      </c>
    </row>
    <row r="20" spans="1:20" x14ac:dyDescent="0.3">
      <c r="A20" s="8">
        <v>45676</v>
      </c>
      <c r="B20" s="1" t="s">
        <v>56</v>
      </c>
      <c r="C20" s="4">
        <v>42</v>
      </c>
      <c r="D20" s="1" t="s">
        <v>11</v>
      </c>
      <c r="E20" s="1" t="s">
        <v>21</v>
      </c>
      <c r="F20" s="1" t="s">
        <v>22</v>
      </c>
      <c r="G20" s="1" t="s">
        <v>57</v>
      </c>
      <c r="H20" s="4">
        <v>1</v>
      </c>
      <c r="I20" s="5">
        <v>150</v>
      </c>
      <c r="J20" s="9">
        <f t="shared" si="0"/>
        <v>150</v>
      </c>
      <c r="M20" s="2" t="s">
        <v>118</v>
      </c>
      <c r="N20" s="2" t="s">
        <v>117</v>
      </c>
      <c r="T20" s="2" t="str">
        <v>Gaming Console</v>
      </c>
    </row>
    <row r="21" spans="1:20" x14ac:dyDescent="0.3">
      <c r="A21" s="8">
        <v>45677</v>
      </c>
      <c r="B21" s="1" t="s">
        <v>58</v>
      </c>
      <c r="C21" s="4">
        <v>38</v>
      </c>
      <c r="D21" s="1" t="s">
        <v>16</v>
      </c>
      <c r="E21" s="1" t="s">
        <v>25</v>
      </c>
      <c r="F21" s="1" t="s">
        <v>13</v>
      </c>
      <c r="G21" s="1" t="s">
        <v>59</v>
      </c>
      <c r="H21" s="4">
        <v>1</v>
      </c>
      <c r="I21" s="5">
        <v>150</v>
      </c>
      <c r="J21" s="9">
        <f t="shared" si="0"/>
        <v>150</v>
      </c>
      <c r="M21" s="2" t="s">
        <v>119</v>
      </c>
      <c r="N21" s="3">
        <f>SUMIF(E1:E44,"north",J1:J44)</f>
        <v>1649</v>
      </c>
      <c r="T21" s="2" t="str">
        <v>Sunglasses</v>
      </c>
    </row>
    <row r="22" spans="1:20" x14ac:dyDescent="0.3">
      <c r="A22" s="8">
        <v>45678</v>
      </c>
      <c r="B22" s="1" t="s">
        <v>60</v>
      </c>
      <c r="C22" s="4">
        <v>30</v>
      </c>
      <c r="D22" s="1" t="s">
        <v>11</v>
      </c>
      <c r="E22" s="1" t="s">
        <v>12</v>
      </c>
      <c r="F22" s="1" t="s">
        <v>28</v>
      </c>
      <c r="G22" s="1" t="s">
        <v>61</v>
      </c>
      <c r="H22" s="4">
        <v>1</v>
      </c>
      <c r="I22" s="5">
        <v>45</v>
      </c>
      <c r="J22" s="9">
        <f t="shared" si="0"/>
        <v>45</v>
      </c>
      <c r="M22" s="2" t="s">
        <v>120</v>
      </c>
      <c r="N22" s="3">
        <f>SUMIF(E:E,"south",J:J)</f>
        <v>1933</v>
      </c>
      <c r="T22" s="2" t="str">
        <v>Camera</v>
      </c>
    </row>
    <row r="23" spans="1:20" x14ac:dyDescent="0.3">
      <c r="A23" s="8">
        <v>45679</v>
      </c>
      <c r="B23" s="1" t="s">
        <v>62</v>
      </c>
      <c r="C23" s="4">
        <v>29</v>
      </c>
      <c r="D23" s="1" t="s">
        <v>16</v>
      </c>
      <c r="E23" s="1" t="s">
        <v>17</v>
      </c>
      <c r="F23" s="1" t="s">
        <v>18</v>
      </c>
      <c r="G23" s="1" t="s">
        <v>63</v>
      </c>
      <c r="H23" s="4">
        <v>2</v>
      </c>
      <c r="I23" s="5">
        <v>60</v>
      </c>
      <c r="J23" s="9">
        <f t="shared" si="0"/>
        <v>120</v>
      </c>
      <c r="M23" s="2" t="s">
        <v>121</v>
      </c>
      <c r="N23" s="3">
        <f>SUMIF(E:E,"west",J:J)</f>
        <v>985</v>
      </c>
      <c r="T23" s="2" t="str">
        <v>Air Fryer</v>
      </c>
    </row>
    <row r="24" spans="1:20" x14ac:dyDescent="0.3">
      <c r="A24" s="8">
        <v>45680</v>
      </c>
      <c r="B24" s="1" t="s">
        <v>64</v>
      </c>
      <c r="C24" s="4">
        <v>27</v>
      </c>
      <c r="D24" s="1" t="s">
        <v>11</v>
      </c>
      <c r="E24" s="1" t="s">
        <v>21</v>
      </c>
      <c r="F24" s="1" t="s">
        <v>13</v>
      </c>
      <c r="G24" s="1" t="s">
        <v>65</v>
      </c>
      <c r="H24" s="4">
        <v>1</v>
      </c>
      <c r="I24" s="5">
        <v>30</v>
      </c>
      <c r="J24" s="9">
        <f t="shared" si="0"/>
        <v>30</v>
      </c>
      <c r="M24" s="2" t="s">
        <v>122</v>
      </c>
      <c r="N24" s="3">
        <f>SUMIF(E:E,"east",J:J)</f>
        <v>3599</v>
      </c>
      <c r="T24" s="2" t="str">
        <v>Smart Speaker</v>
      </c>
    </row>
    <row r="25" spans="1:20" x14ac:dyDescent="0.3">
      <c r="A25" s="8">
        <v>45681</v>
      </c>
      <c r="B25" s="1" t="s">
        <v>66</v>
      </c>
      <c r="C25" s="4">
        <v>32</v>
      </c>
      <c r="D25" s="1" t="s">
        <v>16</v>
      </c>
      <c r="E25" s="1" t="s">
        <v>25</v>
      </c>
      <c r="F25" s="1" t="s">
        <v>22</v>
      </c>
      <c r="G25" s="1" t="s">
        <v>67</v>
      </c>
      <c r="H25" s="4">
        <v>1</v>
      </c>
      <c r="I25" s="5">
        <v>200</v>
      </c>
      <c r="J25" s="9">
        <f t="shared" si="0"/>
        <v>200</v>
      </c>
      <c r="T25" s="2" t="str">
        <v>Makeup Set</v>
      </c>
    </row>
    <row r="26" spans="1:20" x14ac:dyDescent="0.3">
      <c r="A26" s="8">
        <v>45682</v>
      </c>
      <c r="B26" s="1" t="s">
        <v>68</v>
      </c>
      <c r="C26" s="4">
        <v>33</v>
      </c>
      <c r="D26" s="1" t="s">
        <v>11</v>
      </c>
      <c r="E26" s="1" t="s">
        <v>12</v>
      </c>
      <c r="F26" s="1" t="s">
        <v>13</v>
      </c>
      <c r="G26" s="1" t="s">
        <v>69</v>
      </c>
      <c r="H26" s="4">
        <v>1</v>
      </c>
      <c r="I26" s="5">
        <v>100</v>
      </c>
      <c r="J26" s="9">
        <f t="shared" si="0"/>
        <v>100</v>
      </c>
      <c r="T26" s="2" t="str">
        <v>Sports Shoes</v>
      </c>
    </row>
    <row r="27" spans="1:20" x14ac:dyDescent="0.3">
      <c r="A27" s="8">
        <v>45683</v>
      </c>
      <c r="B27" s="1" t="s">
        <v>70</v>
      </c>
      <c r="C27" s="4">
        <v>28</v>
      </c>
      <c r="D27" s="1" t="s">
        <v>16</v>
      </c>
      <c r="E27" s="1" t="s">
        <v>17</v>
      </c>
      <c r="F27" s="1" t="s">
        <v>28</v>
      </c>
      <c r="G27" s="1" t="s">
        <v>71</v>
      </c>
      <c r="H27" s="4">
        <v>1</v>
      </c>
      <c r="I27" s="5">
        <v>40</v>
      </c>
      <c r="J27" s="9">
        <f t="shared" si="0"/>
        <v>40</v>
      </c>
      <c r="T27" s="2" t="str">
        <v>Power Bank</v>
      </c>
    </row>
    <row r="28" spans="1:20" x14ac:dyDescent="0.3">
      <c r="A28" s="8">
        <v>45684</v>
      </c>
      <c r="B28" s="1" t="s">
        <v>72</v>
      </c>
      <c r="C28" s="4">
        <v>31</v>
      </c>
      <c r="D28" s="1" t="s">
        <v>11</v>
      </c>
      <c r="E28" s="1" t="s">
        <v>21</v>
      </c>
      <c r="F28" s="1" t="s">
        <v>18</v>
      </c>
      <c r="G28" s="1" t="s">
        <v>73</v>
      </c>
      <c r="H28" s="4">
        <v>1</v>
      </c>
      <c r="I28" s="5">
        <v>180</v>
      </c>
      <c r="J28" s="9">
        <f t="shared" si="0"/>
        <v>180</v>
      </c>
      <c r="T28" s="2" t="str">
        <v>Vacuum Cleaner</v>
      </c>
    </row>
    <row r="29" spans="1:20" x14ac:dyDescent="0.3">
      <c r="A29" s="8">
        <v>45685</v>
      </c>
      <c r="B29" s="1" t="s">
        <v>74</v>
      </c>
      <c r="C29" s="4">
        <v>39</v>
      </c>
      <c r="D29" s="1" t="s">
        <v>16</v>
      </c>
      <c r="E29" s="1" t="s">
        <v>25</v>
      </c>
      <c r="F29" s="1" t="s">
        <v>13</v>
      </c>
      <c r="G29" s="1" t="s">
        <v>75</v>
      </c>
      <c r="H29" s="4">
        <v>1</v>
      </c>
      <c r="I29" s="5">
        <v>900</v>
      </c>
      <c r="J29" s="9">
        <f t="shared" si="0"/>
        <v>900</v>
      </c>
      <c r="T29" s="2" t="str">
        <v>Bluetooth Speaker</v>
      </c>
    </row>
    <row r="30" spans="1:20" x14ac:dyDescent="0.3">
      <c r="A30" s="8">
        <v>45686</v>
      </c>
      <c r="B30" s="1" t="s">
        <v>76</v>
      </c>
      <c r="C30" s="4">
        <v>25</v>
      </c>
      <c r="D30" s="1" t="s">
        <v>11</v>
      </c>
      <c r="E30" s="1" t="s">
        <v>12</v>
      </c>
      <c r="F30" s="1" t="s">
        <v>22</v>
      </c>
      <c r="G30" s="1" t="s">
        <v>77</v>
      </c>
      <c r="H30" s="4">
        <v>1</v>
      </c>
      <c r="I30" s="5">
        <v>110</v>
      </c>
      <c r="J30" s="9">
        <f t="shared" si="0"/>
        <v>110</v>
      </c>
      <c r="T30" s="2" t="str">
        <v>Beard Trimmer</v>
      </c>
    </row>
    <row r="31" spans="1:20" x14ac:dyDescent="0.3">
      <c r="A31" s="8">
        <v>45687</v>
      </c>
      <c r="B31" s="1" t="s">
        <v>78</v>
      </c>
      <c r="C31" s="4">
        <v>36</v>
      </c>
      <c r="D31" s="1" t="s">
        <v>16</v>
      </c>
      <c r="E31" s="1" t="s">
        <v>17</v>
      </c>
      <c r="F31" s="1" t="s">
        <v>13</v>
      </c>
      <c r="G31" s="1" t="s">
        <v>79</v>
      </c>
      <c r="H31" s="4">
        <v>1</v>
      </c>
      <c r="I31" s="5">
        <v>80</v>
      </c>
      <c r="J31" s="9">
        <f t="shared" si="0"/>
        <v>80</v>
      </c>
      <c r="T31" s="2" t="str">
        <v>Winter Coat</v>
      </c>
    </row>
    <row r="32" spans="1:20" x14ac:dyDescent="0.3">
      <c r="A32" s="8">
        <v>45688</v>
      </c>
      <c r="B32" s="1" t="s">
        <v>80</v>
      </c>
      <c r="C32" s="4">
        <v>29</v>
      </c>
      <c r="D32" s="1" t="s">
        <v>11</v>
      </c>
      <c r="E32" s="1" t="s">
        <v>21</v>
      </c>
      <c r="F32" s="1" t="s">
        <v>28</v>
      </c>
      <c r="G32" s="1" t="s">
        <v>81</v>
      </c>
      <c r="H32" s="4">
        <v>2</v>
      </c>
      <c r="I32" s="5">
        <v>20</v>
      </c>
      <c r="J32" s="9">
        <f t="shared" si="0"/>
        <v>40</v>
      </c>
      <c r="T32" s="2" t="str">
        <v>Drone</v>
      </c>
    </row>
    <row r="33" spans="1:20" x14ac:dyDescent="0.3">
      <c r="A33" s="8">
        <v>45689</v>
      </c>
      <c r="B33" s="1" t="s">
        <v>82</v>
      </c>
      <c r="C33" s="4">
        <v>34</v>
      </c>
      <c r="D33" s="1" t="s">
        <v>16</v>
      </c>
      <c r="E33" s="1" t="s">
        <v>25</v>
      </c>
      <c r="F33" s="1" t="s">
        <v>18</v>
      </c>
      <c r="G33" s="1" t="s">
        <v>83</v>
      </c>
      <c r="H33" s="4">
        <v>1</v>
      </c>
      <c r="I33" s="5">
        <v>70</v>
      </c>
      <c r="J33" s="9">
        <f t="shared" si="0"/>
        <v>70</v>
      </c>
      <c r="T33" s="2" t="str">
        <v>Slow Cooker</v>
      </c>
    </row>
    <row r="34" spans="1:20" x14ac:dyDescent="0.3">
      <c r="A34" s="8">
        <v>45690</v>
      </c>
      <c r="B34" s="1" t="s">
        <v>84</v>
      </c>
      <c r="C34" s="4">
        <v>27</v>
      </c>
      <c r="D34" s="1" t="s">
        <v>11</v>
      </c>
      <c r="E34" s="1" t="s">
        <v>12</v>
      </c>
      <c r="F34" s="1" t="s">
        <v>13</v>
      </c>
      <c r="G34" s="1" t="s">
        <v>85</v>
      </c>
      <c r="H34" s="4">
        <v>1</v>
      </c>
      <c r="I34" s="5">
        <v>300</v>
      </c>
      <c r="J34" s="9">
        <f t="shared" si="0"/>
        <v>300</v>
      </c>
      <c r="T34" s="2" t="str">
        <v>External Hard Drive</v>
      </c>
    </row>
    <row r="35" spans="1:20" x14ac:dyDescent="0.3">
      <c r="A35" s="8">
        <v>45691</v>
      </c>
      <c r="B35" s="1" t="s">
        <v>86</v>
      </c>
      <c r="C35" s="4">
        <v>35</v>
      </c>
      <c r="D35" s="1" t="s">
        <v>16</v>
      </c>
      <c r="E35" s="1" t="s">
        <v>17</v>
      </c>
      <c r="F35" s="1" t="s">
        <v>28</v>
      </c>
      <c r="G35" s="1" t="s">
        <v>87</v>
      </c>
      <c r="H35" s="4">
        <v>1</v>
      </c>
      <c r="I35" s="5">
        <v>60</v>
      </c>
      <c r="J35" s="9">
        <f t="shared" si="0"/>
        <v>60</v>
      </c>
      <c r="T35" s="2" t="str">
        <v>Nail Polish Kit</v>
      </c>
    </row>
    <row r="36" spans="1:20" x14ac:dyDescent="0.3">
      <c r="A36" s="8">
        <v>45692</v>
      </c>
      <c r="B36" s="1" t="s">
        <v>88</v>
      </c>
      <c r="C36" s="4">
        <v>30</v>
      </c>
      <c r="D36" s="1" t="s">
        <v>11</v>
      </c>
      <c r="E36" s="1" t="s">
        <v>21</v>
      </c>
      <c r="F36" s="1" t="s">
        <v>22</v>
      </c>
      <c r="G36" s="1" t="s">
        <v>89</v>
      </c>
      <c r="H36" s="4">
        <v>1</v>
      </c>
      <c r="I36" s="5">
        <v>90</v>
      </c>
      <c r="J36" s="9">
        <f t="shared" si="0"/>
        <v>90</v>
      </c>
      <c r="T36" s="2" t="str">
        <v>Wallet</v>
      </c>
    </row>
    <row r="37" spans="1:20" x14ac:dyDescent="0.3">
      <c r="A37" s="8">
        <v>45693</v>
      </c>
      <c r="B37" s="1" t="s">
        <v>90</v>
      </c>
      <c r="C37" s="4">
        <v>32</v>
      </c>
      <c r="D37" s="1" t="s">
        <v>16</v>
      </c>
      <c r="E37" s="1" t="s">
        <v>25</v>
      </c>
      <c r="F37" s="1" t="s">
        <v>13</v>
      </c>
      <c r="G37" s="1" t="s">
        <v>91</v>
      </c>
      <c r="H37" s="4">
        <v>2</v>
      </c>
      <c r="I37" s="5">
        <v>40</v>
      </c>
      <c r="J37" s="9">
        <f t="shared" si="0"/>
        <v>80</v>
      </c>
      <c r="T37" s="2" t="str">
        <v>Monitor</v>
      </c>
    </row>
    <row r="38" spans="1:20" x14ac:dyDescent="0.3">
      <c r="A38" s="8">
        <v>45694</v>
      </c>
      <c r="B38" s="1" t="s">
        <v>92</v>
      </c>
      <c r="C38" s="4">
        <v>41</v>
      </c>
      <c r="D38" s="1" t="s">
        <v>11</v>
      </c>
      <c r="E38" s="1" t="s">
        <v>12</v>
      </c>
      <c r="F38" s="1" t="s">
        <v>18</v>
      </c>
      <c r="G38" s="1" t="s">
        <v>93</v>
      </c>
      <c r="H38" s="4">
        <v>1</v>
      </c>
      <c r="I38" s="5">
        <v>25</v>
      </c>
      <c r="J38" s="9">
        <f t="shared" si="0"/>
        <v>25</v>
      </c>
      <c r="T38" s="2" t="str">
        <v>Electric Shaver</v>
      </c>
    </row>
    <row r="39" spans="1:20" x14ac:dyDescent="0.3">
      <c r="A39" s="8">
        <v>45695</v>
      </c>
      <c r="B39" s="1" t="s">
        <v>94</v>
      </c>
      <c r="C39" s="4">
        <v>26</v>
      </c>
      <c r="D39" s="1" t="s">
        <v>16</v>
      </c>
      <c r="E39" s="1" t="s">
        <v>17</v>
      </c>
      <c r="F39" s="1" t="s">
        <v>13</v>
      </c>
      <c r="G39" s="1" t="s">
        <v>95</v>
      </c>
      <c r="H39" s="4">
        <v>1</v>
      </c>
      <c r="I39" s="5">
        <v>150</v>
      </c>
      <c r="J39" s="9">
        <f t="shared" si="0"/>
        <v>150</v>
      </c>
      <c r="T39" s="2" t="str">
        <v>Toaster Oven</v>
      </c>
    </row>
    <row r="40" spans="1:20" x14ac:dyDescent="0.3">
      <c r="A40" s="8">
        <v>45696</v>
      </c>
      <c r="B40" s="1" t="s">
        <v>96</v>
      </c>
      <c r="C40" s="4">
        <v>28</v>
      </c>
      <c r="D40" s="1" t="s">
        <v>11</v>
      </c>
      <c r="E40" s="1" t="s">
        <v>21</v>
      </c>
      <c r="F40" s="1" t="s">
        <v>28</v>
      </c>
      <c r="G40" s="1" t="s">
        <v>97</v>
      </c>
      <c r="H40" s="4">
        <v>2</v>
      </c>
      <c r="I40" s="5">
        <v>15</v>
      </c>
      <c r="J40" s="9">
        <f t="shared" si="0"/>
        <v>30</v>
      </c>
      <c r="T40" s="2" t="str">
        <v>Gaming Mouse</v>
      </c>
    </row>
    <row r="41" spans="1:20" x14ac:dyDescent="0.3">
      <c r="A41" s="8">
        <v>45697</v>
      </c>
      <c r="B41" s="1" t="s">
        <v>98</v>
      </c>
      <c r="C41" s="4">
        <v>40</v>
      </c>
      <c r="D41" s="1" t="s">
        <v>16</v>
      </c>
      <c r="E41" s="1" t="s">
        <v>25</v>
      </c>
      <c r="F41" s="1" t="s">
        <v>22</v>
      </c>
      <c r="G41" s="1" t="s">
        <v>99</v>
      </c>
      <c r="H41" s="4">
        <v>1</v>
      </c>
      <c r="I41" s="5">
        <v>50</v>
      </c>
      <c r="J41" s="9">
        <f t="shared" si="0"/>
        <v>50</v>
      </c>
      <c r="T41" s="2" t="str">
        <v>Scarf</v>
      </c>
    </row>
    <row r="42" spans="1:20" x14ac:dyDescent="0.3">
      <c r="A42" s="8">
        <v>45698</v>
      </c>
      <c r="B42" s="1" t="s">
        <v>100</v>
      </c>
      <c r="C42" s="4">
        <v>29</v>
      </c>
      <c r="D42" s="1" t="s">
        <v>11</v>
      </c>
      <c r="E42" s="1" t="s">
        <v>12</v>
      </c>
      <c r="F42" s="1" t="s">
        <v>13</v>
      </c>
      <c r="G42" s="1" t="s">
        <v>101</v>
      </c>
      <c r="H42" s="4">
        <v>3</v>
      </c>
      <c r="I42" s="5">
        <v>10</v>
      </c>
      <c r="J42" s="9">
        <f t="shared" si="0"/>
        <v>30</v>
      </c>
      <c r="T42" s="2" t="str">
        <v>Wi-Fi Router</v>
      </c>
    </row>
    <row r="43" spans="1:20" x14ac:dyDescent="0.3">
      <c r="A43" s="8">
        <v>45699</v>
      </c>
      <c r="B43" s="1" t="s">
        <v>102</v>
      </c>
      <c r="C43" s="4">
        <v>33</v>
      </c>
      <c r="D43" s="1" t="s">
        <v>16</v>
      </c>
      <c r="E43" s="1" t="s">
        <v>17</v>
      </c>
      <c r="F43" s="1" t="s">
        <v>18</v>
      </c>
      <c r="G43" s="1" t="s">
        <v>103</v>
      </c>
      <c r="H43" s="4">
        <v>2</v>
      </c>
      <c r="I43" s="5">
        <v>30</v>
      </c>
      <c r="J43" s="9">
        <f t="shared" si="0"/>
        <v>60</v>
      </c>
      <c r="T43" s="2" t="str">
        <v>Body Lotion</v>
      </c>
    </row>
    <row r="44" spans="1:20" x14ac:dyDescent="0.3">
      <c r="A44" s="13">
        <v>45700</v>
      </c>
      <c r="B44" s="14" t="s">
        <v>104</v>
      </c>
      <c r="C44" s="15">
        <v>24</v>
      </c>
      <c r="D44" s="14" t="s">
        <v>11</v>
      </c>
      <c r="E44" s="14" t="s">
        <v>21</v>
      </c>
      <c r="F44" s="14" t="s">
        <v>28</v>
      </c>
      <c r="G44" s="14" t="s">
        <v>105</v>
      </c>
      <c r="H44" s="15">
        <v>1</v>
      </c>
      <c r="I44" s="16">
        <v>25</v>
      </c>
      <c r="J44" s="17">
        <f t="shared" si="0"/>
        <v>25</v>
      </c>
      <c r="T44" s="2" t="str">
        <v>Electric Kettle</v>
      </c>
    </row>
    <row r="45" spans="1:20" x14ac:dyDescent="0.3">
      <c r="T45" s="2" t="str">
        <v>Phone Case</v>
      </c>
    </row>
    <row r="46" spans="1:20" x14ac:dyDescent="0.3">
      <c r="T46" s="2" t="str">
        <v>T-Shirt</v>
      </c>
    </row>
    <row r="47" spans="1:20" x14ac:dyDescent="0.3">
      <c r="T47" s="2" t="str">
        <v>Lipstick</v>
      </c>
    </row>
  </sheetData>
  <mergeCells count="2">
    <mergeCell ref="P3:R3"/>
    <mergeCell ref="Q5:R5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51B5-5790-445C-A1B0-E085EF10AF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2025-11-08T04:31:58Z</dcterms:created>
  <dcterms:modified xsi:type="dcterms:W3CDTF">2025-11-08T09:15:53Z</dcterms:modified>
</cp:coreProperties>
</file>